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mplilearn\Excel Projects\03\"/>
    </mc:Choice>
  </mc:AlternateContent>
  <xr:revisionPtr revIDLastSave="0" documentId="8_{7B202232-814F-4B42-993D-C7E68B416C7B}" xr6:coauthVersionLast="47" xr6:coauthVersionMax="47" xr10:uidLastSave="{00000000-0000-0000-0000-000000000000}"/>
  <bookViews>
    <workbookView xWindow="-108" yWindow="-108" windowWidth="23256" windowHeight="12456" xr2:uid="{0F9CB042-F3E3-4AE3-85E8-5DDD1312B620}"/>
  </bookViews>
  <sheets>
    <sheet name="Raw_Data" sheetId="1" r:id="rId1"/>
    <sheet name="Sales_Highlight" sheetId="2" r:id="rId2"/>
    <sheet name="Monthly_Trends" sheetId="3" r:id="rId3"/>
    <sheet name="Region_Summary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5" l="1"/>
  <c r="K8" i="5"/>
  <c r="K6" i="5"/>
  <c r="K7" i="5"/>
</calcChain>
</file>

<file path=xl/sharedStrings.xml><?xml version="1.0" encoding="utf-8"?>
<sst xmlns="http://schemas.openxmlformats.org/spreadsheetml/2006/main" count="192" uniqueCount="16">
  <si>
    <t>CustomerID</t>
  </si>
  <si>
    <t>ProductCategory</t>
  </si>
  <si>
    <t>PurchaseDate</t>
  </si>
  <si>
    <t>Revenue</t>
  </si>
  <si>
    <t>Age</t>
  </si>
  <si>
    <t>Region</t>
  </si>
  <si>
    <t>PurchaseFrequency</t>
  </si>
  <si>
    <t>Sports</t>
  </si>
  <si>
    <t>North</t>
  </si>
  <si>
    <t>Books</t>
  </si>
  <si>
    <t>Clothing</t>
  </si>
  <si>
    <t>South</t>
  </si>
  <si>
    <t>West</t>
  </si>
  <si>
    <t>Home Decor</t>
  </si>
  <si>
    <t>Electronics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</si>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</sst>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97147D-F928-45A2-B137-F7E7A55871CD}" name="Table1" displayName="Table1" ref="A1:G21" totalsRowShown="0">
  <autoFilter ref="A1:G21" xr:uid="{1897147D-F928-45A2-B137-F7E7A55871CD}"/>
  <tableColumns count="7">
    <tableColumn id="1" xr3:uid="{02F57370-07EA-46D0-AB2C-2B290C44F496}" name="CustomerID"/>
    <tableColumn id="2" xr3:uid="{073B78EE-50C2-4789-88FF-49DFAD667D5C}" name="ProductCategory"/>
    <tableColumn id="3" xr3:uid="{4B2AF2FF-617A-4D6B-9636-6D315DB8ECAA}" name="PurchaseDate" dataDxfId="5"/>
    <tableColumn id="4" xr3:uid="{3FB37A4B-ACE6-407D-BD74-92BD5A1FC935}" name="Revenue"/>
    <tableColumn id="5" xr3:uid="{0907B2A2-CDAC-4238-AAF3-5C3ABDC94FA2}" name="Age"/>
    <tableColumn id="6" xr3:uid="{EF944E65-07A2-409F-9284-FD8F1826E755}" name="Region"/>
    <tableColumn id="7" xr3:uid="{76A22806-5208-48BE-A14D-A29836DBEFCA}" name="PurchaseFrequency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5DD1FE-C93B-4B18-B63C-12D8462C924A}" name="Table14" displayName="Table14" ref="A1:G21" totalsRowShown="0">
  <autoFilter ref="A1:G21" xr:uid="{F95DD1FE-C93B-4B18-B63C-12D8462C924A}"/>
  <tableColumns count="7">
    <tableColumn id="1" xr3:uid="{3B5538EF-1A8B-48C5-9BA2-6B2A8BE19E94}" name="CustomerID"/>
    <tableColumn id="2" xr3:uid="{67A225D5-4552-4A5F-80B5-6B1D83B8D252}" name="ProductCategory"/>
    <tableColumn id="3" xr3:uid="{923221CF-44BF-44E0-A486-A2D55DB65864}" name="PurchaseDate" dataDxfId="4"/>
    <tableColumn id="4" xr3:uid="{EAF6510E-5F46-4E01-BBF4-0A77E11998BE}" name="Revenue"/>
    <tableColumn id="5" xr3:uid="{052EC546-1A7B-4718-8452-9A602B581288}" name="Age"/>
    <tableColumn id="6" xr3:uid="{EB7110EA-9D12-44F7-A865-5999CDC802A8}" name="Region"/>
    <tableColumn id="7" xr3:uid="{B6875E03-89A4-4521-913D-D7E91F063921}" name="PurchaseFrequency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C39B01-B22F-4449-8327-971048C0A1FC}" name="Table15" displayName="Table15" ref="A1:G21" totalsRowShown="0">
  <autoFilter ref="A1:G21" xr:uid="{ACC39B01-B22F-4449-8327-971048C0A1FC}"/>
  <tableColumns count="7">
    <tableColumn id="1" xr3:uid="{F30874C2-CC7E-4225-B986-9EE7D6089CBD}" name="CustomerID"/>
    <tableColumn id="2" xr3:uid="{B4CCCCC5-8BC0-478C-8FD3-6040A9C69808}" name="ProductCategory"/>
    <tableColumn id="3" xr3:uid="{9F3DE1E7-02F4-4DCD-AC7F-BA42665F9861}" name="PurchaseDate" dataDxfId="3"/>
    <tableColumn id="4" xr3:uid="{0116D743-1ABE-4767-94BA-B74F72E075E7}" name="Revenue"/>
    <tableColumn id="5" xr3:uid="{BD89B19B-9DA4-4B8E-83A5-33F3E8530371}" name="Age"/>
    <tableColumn id="6" xr3:uid="{9FC8A39D-C1CA-43C1-ACC9-97789CA514A9}" name="Region"/>
    <tableColumn id="7" xr3:uid="{8CAF00F6-BABB-4DC7-875E-ADA681047CD4}" name="PurchaseFrequency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901BFF-57F9-4F50-B442-DE8675A032BE}" name="Table16" displayName="Table16" ref="A1:G21" totalsRowShown="0">
  <autoFilter ref="A1:G21" xr:uid="{F5901BFF-57F9-4F50-B442-DE8675A032BE}"/>
  <tableColumns count="7">
    <tableColumn id="1" xr3:uid="{9D8B49E4-4B97-4A36-A191-8FEE2D9D779E}" name="CustomerID"/>
    <tableColumn id="2" xr3:uid="{D669CEC1-B3D7-4480-804E-580AA5521DD1}" name="ProductCategory"/>
    <tableColumn id="3" xr3:uid="{ADC281A4-92EC-48D2-B995-9707D09E919C}" name="PurchaseDate" dataDxfId="2"/>
    <tableColumn id="4" xr3:uid="{85C4DF04-1978-4985-A3C9-57FBAF541554}" name="Revenue"/>
    <tableColumn id="5" xr3:uid="{A48D00F3-FB56-4E90-B242-D4ED451DA80A}" name="Age"/>
    <tableColumn id="6" xr3:uid="{0E621A65-B3CA-4498-8A81-CF1F35DED636}" name="Region"/>
    <tableColumn id="7" xr3:uid="{92BDDBC5-F3B4-4FD3-B5F3-5BEF84E85108}" name="PurchaseFrequency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3264-3848-40FD-9B62-30FB369F70D2}">
  <dimension ref="A1:G21"/>
  <sheetViews>
    <sheetView tabSelected="1" workbookViewId="0">
      <selection activeCell="B5" sqref="B5"/>
    </sheetView>
  </sheetViews>
  <sheetFormatPr defaultRowHeight="14.4" x14ac:dyDescent="0.3"/>
  <cols>
    <col min="1" max="1" width="13.109375" bestFit="1" customWidth="1"/>
    <col min="2" max="2" width="17.5546875" bestFit="1" customWidth="1"/>
    <col min="3" max="3" width="14.77734375" bestFit="1" customWidth="1"/>
    <col min="4" max="4" width="11" bestFit="1" customWidth="1"/>
    <col min="5" max="5" width="6.44140625" bestFit="1" customWidth="1"/>
    <col min="6" max="6" width="9" bestFit="1" customWidth="1"/>
    <col min="7" max="7" width="19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78268</v>
      </c>
      <c r="B2" t="s">
        <v>10</v>
      </c>
      <c r="C2" s="1">
        <v>45189</v>
      </c>
      <c r="D2">
        <v>917.32054500000004</v>
      </c>
      <c r="E2">
        <v>55</v>
      </c>
      <c r="F2" t="s">
        <v>8</v>
      </c>
      <c r="G2">
        <v>4</v>
      </c>
    </row>
    <row r="3" spans="1:7" x14ac:dyDescent="0.3">
      <c r="A3">
        <v>53567</v>
      </c>
      <c r="B3" t="s">
        <v>7</v>
      </c>
      <c r="C3" s="1">
        <v>45128</v>
      </c>
      <c r="D3">
        <v>194.00402600000001</v>
      </c>
      <c r="E3">
        <v>56</v>
      </c>
      <c r="F3" t="s">
        <v>8</v>
      </c>
      <c r="G3">
        <v>3</v>
      </c>
    </row>
    <row r="4" spans="1:7" x14ac:dyDescent="0.3">
      <c r="A4">
        <v>52613</v>
      </c>
      <c r="B4" t="s">
        <v>9</v>
      </c>
      <c r="C4" s="1">
        <v>45047</v>
      </c>
      <c r="D4">
        <v>355.087898</v>
      </c>
      <c r="E4">
        <v>46</v>
      </c>
      <c r="F4" t="s">
        <v>8</v>
      </c>
      <c r="G4">
        <v>1</v>
      </c>
    </row>
    <row r="5" spans="1:7" x14ac:dyDescent="0.3">
      <c r="A5">
        <v>55891</v>
      </c>
      <c r="B5" t="s">
        <v>10</v>
      </c>
      <c r="C5" s="1">
        <v>44995</v>
      </c>
      <c r="D5">
        <v>265.21210400000001</v>
      </c>
      <c r="E5">
        <v>45</v>
      </c>
      <c r="F5" t="s">
        <v>11</v>
      </c>
      <c r="G5">
        <v>5</v>
      </c>
    </row>
    <row r="6" spans="1:7" x14ac:dyDescent="0.3">
      <c r="A6">
        <v>31243</v>
      </c>
      <c r="B6" t="s">
        <v>9</v>
      </c>
      <c r="C6" s="1">
        <v>45002</v>
      </c>
      <c r="D6">
        <v>161.83664400000001</v>
      </c>
      <c r="E6">
        <v>63</v>
      </c>
      <c r="F6" t="s">
        <v>12</v>
      </c>
      <c r="G6">
        <v>3</v>
      </c>
    </row>
    <row r="7" spans="1:7" x14ac:dyDescent="0.3">
      <c r="A7">
        <v>51993</v>
      </c>
      <c r="B7" t="s">
        <v>13</v>
      </c>
      <c r="C7" s="1">
        <v>44967</v>
      </c>
      <c r="D7">
        <v>898.10537399999998</v>
      </c>
      <c r="E7">
        <v>51</v>
      </c>
      <c r="F7" t="s">
        <v>11</v>
      </c>
      <c r="G7">
        <v>1</v>
      </c>
    </row>
    <row r="8" spans="1:7" x14ac:dyDescent="0.3">
      <c r="A8">
        <v>96293</v>
      </c>
      <c r="B8" t="s">
        <v>13</v>
      </c>
      <c r="C8" s="1">
        <v>45125</v>
      </c>
      <c r="D8">
        <v>933.11899500000004</v>
      </c>
      <c r="E8">
        <v>29</v>
      </c>
      <c r="F8" t="s">
        <v>12</v>
      </c>
      <c r="G8">
        <v>9</v>
      </c>
    </row>
    <row r="9" spans="1:7" x14ac:dyDescent="0.3">
      <c r="A9">
        <v>62026</v>
      </c>
      <c r="B9" t="s">
        <v>10</v>
      </c>
      <c r="C9" s="1">
        <v>45182</v>
      </c>
      <c r="D9">
        <v>999.21582899999999</v>
      </c>
      <c r="E9">
        <v>35</v>
      </c>
      <c r="F9" t="s">
        <v>8</v>
      </c>
      <c r="G9">
        <v>2</v>
      </c>
    </row>
    <row r="10" spans="1:7" x14ac:dyDescent="0.3">
      <c r="A10">
        <v>90471</v>
      </c>
      <c r="B10" t="s">
        <v>14</v>
      </c>
      <c r="C10" s="1">
        <v>45115</v>
      </c>
      <c r="D10">
        <v>244.38593800000001</v>
      </c>
      <c r="E10">
        <v>52</v>
      </c>
      <c r="F10" t="s">
        <v>8</v>
      </c>
      <c r="G10">
        <v>1</v>
      </c>
    </row>
    <row r="11" spans="1:7" x14ac:dyDescent="0.3">
      <c r="A11">
        <v>56006</v>
      </c>
      <c r="B11" t="s">
        <v>14</v>
      </c>
      <c r="C11" s="1">
        <v>44989</v>
      </c>
      <c r="D11">
        <v>156.88938300000001</v>
      </c>
      <c r="E11">
        <v>31</v>
      </c>
      <c r="F11" t="s">
        <v>12</v>
      </c>
      <c r="G11">
        <v>2</v>
      </c>
    </row>
    <row r="12" spans="1:7" x14ac:dyDescent="0.3">
      <c r="A12">
        <v>49512</v>
      </c>
      <c r="B12" t="s">
        <v>10</v>
      </c>
      <c r="C12" s="1">
        <v>44963</v>
      </c>
      <c r="D12">
        <v>730.23582099999999</v>
      </c>
      <c r="E12">
        <v>33</v>
      </c>
      <c r="F12" t="s">
        <v>8</v>
      </c>
      <c r="G12">
        <v>4</v>
      </c>
    </row>
    <row r="13" spans="1:7" x14ac:dyDescent="0.3">
      <c r="A13">
        <v>62620</v>
      </c>
      <c r="B13" t="s">
        <v>10</v>
      </c>
      <c r="C13" s="1">
        <v>45003</v>
      </c>
      <c r="D13">
        <v>930.38135899999997</v>
      </c>
      <c r="E13">
        <v>42</v>
      </c>
      <c r="F13" t="s">
        <v>11</v>
      </c>
      <c r="G13">
        <v>2</v>
      </c>
    </row>
    <row r="14" spans="1:7" x14ac:dyDescent="0.3">
      <c r="A14">
        <v>90186</v>
      </c>
      <c r="B14" t="s">
        <v>7</v>
      </c>
      <c r="C14" s="1">
        <v>45017</v>
      </c>
      <c r="D14">
        <v>293.51085499999999</v>
      </c>
      <c r="E14">
        <v>30</v>
      </c>
      <c r="F14" t="s">
        <v>15</v>
      </c>
      <c r="G14">
        <v>3</v>
      </c>
    </row>
    <row r="15" spans="1:7" x14ac:dyDescent="0.3">
      <c r="A15">
        <v>27089</v>
      </c>
      <c r="B15" t="s">
        <v>14</v>
      </c>
      <c r="C15" s="1">
        <v>45105</v>
      </c>
      <c r="D15">
        <v>812.36725000000001</v>
      </c>
      <c r="E15">
        <v>56</v>
      </c>
      <c r="F15" t="s">
        <v>15</v>
      </c>
      <c r="G15">
        <v>4</v>
      </c>
    </row>
    <row r="16" spans="1:7" x14ac:dyDescent="0.3">
      <c r="A16">
        <v>42230</v>
      </c>
      <c r="B16" t="s">
        <v>14</v>
      </c>
      <c r="C16" s="1">
        <v>45139</v>
      </c>
      <c r="D16">
        <v>798.820741</v>
      </c>
      <c r="E16">
        <v>62</v>
      </c>
      <c r="F16" t="s">
        <v>11</v>
      </c>
      <c r="G16">
        <v>1</v>
      </c>
    </row>
    <row r="17" spans="1:7" x14ac:dyDescent="0.3">
      <c r="A17">
        <v>28983</v>
      </c>
      <c r="B17" t="s">
        <v>13</v>
      </c>
      <c r="C17" s="1">
        <v>45132</v>
      </c>
      <c r="D17">
        <v>957.95770100000004</v>
      </c>
      <c r="E17">
        <v>64</v>
      </c>
      <c r="F17" t="s">
        <v>11</v>
      </c>
      <c r="G17">
        <v>6</v>
      </c>
    </row>
    <row r="18" spans="1:7" x14ac:dyDescent="0.3">
      <c r="A18">
        <v>99688</v>
      </c>
      <c r="B18" t="s">
        <v>9</v>
      </c>
      <c r="C18" s="1">
        <v>45037</v>
      </c>
      <c r="D18">
        <v>458.43326400000001</v>
      </c>
      <c r="E18">
        <v>53</v>
      </c>
      <c r="F18" t="s">
        <v>12</v>
      </c>
      <c r="G18">
        <v>2</v>
      </c>
    </row>
    <row r="19" spans="1:7" x14ac:dyDescent="0.3">
      <c r="A19">
        <v>92457</v>
      </c>
      <c r="B19" t="s">
        <v>13</v>
      </c>
      <c r="C19" s="1">
        <v>45090</v>
      </c>
      <c r="D19">
        <v>644.95664299999999</v>
      </c>
      <c r="E19">
        <v>19</v>
      </c>
      <c r="F19" t="s">
        <v>11</v>
      </c>
      <c r="G19">
        <v>1</v>
      </c>
    </row>
    <row r="20" spans="1:7" x14ac:dyDescent="0.3">
      <c r="A20">
        <v>16921</v>
      </c>
      <c r="B20" t="s">
        <v>14</v>
      </c>
      <c r="C20" s="1">
        <v>45049</v>
      </c>
      <c r="D20">
        <v>452.08174700000001</v>
      </c>
      <c r="E20">
        <v>60</v>
      </c>
      <c r="F20" t="s">
        <v>11</v>
      </c>
      <c r="G20">
        <v>3</v>
      </c>
    </row>
    <row r="21" spans="1:7" x14ac:dyDescent="0.3">
      <c r="A21">
        <v>48004</v>
      </c>
      <c r="B21" t="s">
        <v>7</v>
      </c>
      <c r="C21" s="1">
        <v>45076</v>
      </c>
      <c r="D21">
        <v>457.40632699999998</v>
      </c>
      <c r="E21">
        <v>45</v>
      </c>
      <c r="F21" t="s">
        <v>8</v>
      </c>
      <c r="G2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B46D9-CF0D-46E3-9641-C8852513A29B}">
  <dimension ref="A1:G21"/>
  <sheetViews>
    <sheetView workbookViewId="0">
      <selection activeCell="G17" sqref="G17"/>
    </sheetView>
  </sheetViews>
  <sheetFormatPr defaultRowHeight="14.4" x14ac:dyDescent="0.3"/>
  <cols>
    <col min="1" max="1" width="13.109375" bestFit="1" customWidth="1"/>
    <col min="2" max="2" width="17.5546875" bestFit="1" customWidth="1"/>
    <col min="3" max="3" width="14.77734375" bestFit="1" customWidth="1"/>
    <col min="4" max="4" width="11" bestFit="1" customWidth="1"/>
    <col min="5" max="5" width="6.44140625" bestFit="1" customWidth="1"/>
    <col min="6" max="6" width="9" bestFit="1" customWidth="1"/>
    <col min="7" max="7" width="19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78268</v>
      </c>
      <c r="B2" t="s">
        <v>10</v>
      </c>
      <c r="C2" s="1">
        <v>45189</v>
      </c>
      <c r="D2">
        <v>917.32054500000004</v>
      </c>
      <c r="E2">
        <v>55</v>
      </c>
      <c r="F2" t="s">
        <v>8</v>
      </c>
      <c r="G2">
        <v>4</v>
      </c>
    </row>
    <row r="3" spans="1:7" x14ac:dyDescent="0.3">
      <c r="A3">
        <v>53567</v>
      </c>
      <c r="B3" t="s">
        <v>7</v>
      </c>
      <c r="C3" s="1">
        <v>45128</v>
      </c>
      <c r="D3">
        <v>194.00402600000001</v>
      </c>
      <c r="E3">
        <v>56</v>
      </c>
      <c r="F3" t="s">
        <v>8</v>
      </c>
      <c r="G3">
        <v>3</v>
      </c>
    </row>
    <row r="4" spans="1:7" x14ac:dyDescent="0.3">
      <c r="A4">
        <v>52613</v>
      </c>
      <c r="B4" t="s">
        <v>9</v>
      </c>
      <c r="C4" s="1">
        <v>45047</v>
      </c>
      <c r="D4">
        <v>355.087898</v>
      </c>
      <c r="E4">
        <v>46</v>
      </c>
      <c r="F4" t="s">
        <v>8</v>
      </c>
      <c r="G4">
        <v>1</v>
      </c>
    </row>
    <row r="5" spans="1:7" x14ac:dyDescent="0.3">
      <c r="A5">
        <v>55891</v>
      </c>
      <c r="B5" t="s">
        <v>10</v>
      </c>
      <c r="C5" s="1">
        <v>44995</v>
      </c>
      <c r="D5">
        <v>265.21210400000001</v>
      </c>
      <c r="E5">
        <v>45</v>
      </c>
      <c r="F5" t="s">
        <v>11</v>
      </c>
      <c r="G5">
        <v>5</v>
      </c>
    </row>
    <row r="6" spans="1:7" x14ac:dyDescent="0.3">
      <c r="A6">
        <v>31243</v>
      </c>
      <c r="B6" t="s">
        <v>9</v>
      </c>
      <c r="C6" s="1">
        <v>45002</v>
      </c>
      <c r="D6">
        <v>161.83664400000001</v>
      </c>
      <c r="E6">
        <v>63</v>
      </c>
      <c r="F6" t="s">
        <v>12</v>
      </c>
      <c r="G6">
        <v>3</v>
      </c>
    </row>
    <row r="7" spans="1:7" x14ac:dyDescent="0.3">
      <c r="A7">
        <v>51993</v>
      </c>
      <c r="B7" t="s">
        <v>13</v>
      </c>
      <c r="C7" s="1">
        <v>44967</v>
      </c>
      <c r="D7">
        <v>898.10537399999998</v>
      </c>
      <c r="E7">
        <v>51</v>
      </c>
      <c r="F7" t="s">
        <v>11</v>
      </c>
      <c r="G7">
        <v>1</v>
      </c>
    </row>
    <row r="8" spans="1:7" x14ac:dyDescent="0.3">
      <c r="A8">
        <v>96293</v>
      </c>
      <c r="B8" t="s">
        <v>13</v>
      </c>
      <c r="C8" s="1">
        <v>45125</v>
      </c>
      <c r="D8">
        <v>933.11899500000004</v>
      </c>
      <c r="E8">
        <v>29</v>
      </c>
      <c r="F8" t="s">
        <v>12</v>
      </c>
      <c r="G8">
        <v>9</v>
      </c>
    </row>
    <row r="9" spans="1:7" x14ac:dyDescent="0.3">
      <c r="A9">
        <v>62026</v>
      </c>
      <c r="B9" t="s">
        <v>10</v>
      </c>
      <c r="C9" s="1">
        <v>45182</v>
      </c>
      <c r="D9">
        <v>999.21582899999999</v>
      </c>
      <c r="E9">
        <v>35</v>
      </c>
      <c r="F9" t="s">
        <v>8</v>
      </c>
      <c r="G9">
        <v>2</v>
      </c>
    </row>
    <row r="10" spans="1:7" x14ac:dyDescent="0.3">
      <c r="A10">
        <v>90471</v>
      </c>
      <c r="B10" t="s">
        <v>14</v>
      </c>
      <c r="C10" s="1">
        <v>45115</v>
      </c>
      <c r="D10">
        <v>244.38593800000001</v>
      </c>
      <c r="E10">
        <v>52</v>
      </c>
      <c r="F10" t="s">
        <v>8</v>
      </c>
      <c r="G10">
        <v>1</v>
      </c>
    </row>
    <row r="11" spans="1:7" x14ac:dyDescent="0.3">
      <c r="A11">
        <v>56006</v>
      </c>
      <c r="B11" t="s">
        <v>14</v>
      </c>
      <c r="C11" s="1">
        <v>44989</v>
      </c>
      <c r="D11">
        <v>156.88938300000001</v>
      </c>
      <c r="E11">
        <v>31</v>
      </c>
      <c r="F11" t="s">
        <v>12</v>
      </c>
      <c r="G11">
        <v>2</v>
      </c>
    </row>
    <row r="12" spans="1:7" x14ac:dyDescent="0.3">
      <c r="A12">
        <v>49512</v>
      </c>
      <c r="B12" t="s">
        <v>10</v>
      </c>
      <c r="C12" s="1">
        <v>44963</v>
      </c>
      <c r="D12">
        <v>730.23582099999999</v>
      </c>
      <c r="E12">
        <v>33</v>
      </c>
      <c r="F12" t="s">
        <v>8</v>
      </c>
      <c r="G12">
        <v>4</v>
      </c>
    </row>
    <row r="13" spans="1:7" x14ac:dyDescent="0.3">
      <c r="A13">
        <v>62620</v>
      </c>
      <c r="B13" t="s">
        <v>10</v>
      </c>
      <c r="C13" s="1">
        <v>45003</v>
      </c>
      <c r="D13">
        <v>930.38135899999997</v>
      </c>
      <c r="E13">
        <v>42</v>
      </c>
      <c r="F13" t="s">
        <v>11</v>
      </c>
      <c r="G13">
        <v>2</v>
      </c>
    </row>
    <row r="14" spans="1:7" x14ac:dyDescent="0.3">
      <c r="A14">
        <v>90186</v>
      </c>
      <c r="B14" t="s">
        <v>7</v>
      </c>
      <c r="C14" s="1">
        <v>45017</v>
      </c>
      <c r="D14">
        <v>293.51085499999999</v>
      </c>
      <c r="E14">
        <v>30</v>
      </c>
      <c r="F14" t="s">
        <v>15</v>
      </c>
      <c r="G14">
        <v>3</v>
      </c>
    </row>
    <row r="15" spans="1:7" x14ac:dyDescent="0.3">
      <c r="A15">
        <v>27089</v>
      </c>
      <c r="B15" t="s">
        <v>14</v>
      </c>
      <c r="C15" s="1">
        <v>45105</v>
      </c>
      <c r="D15">
        <v>812.36725000000001</v>
      </c>
      <c r="E15">
        <v>56</v>
      </c>
      <c r="F15" t="s">
        <v>15</v>
      </c>
      <c r="G15">
        <v>4</v>
      </c>
    </row>
    <row r="16" spans="1:7" x14ac:dyDescent="0.3">
      <c r="A16">
        <v>42230</v>
      </c>
      <c r="B16" t="s">
        <v>14</v>
      </c>
      <c r="C16" s="1">
        <v>45139</v>
      </c>
      <c r="D16">
        <v>798.820741</v>
      </c>
      <c r="E16">
        <v>62</v>
      </c>
      <c r="F16" t="s">
        <v>11</v>
      </c>
      <c r="G16">
        <v>1</v>
      </c>
    </row>
    <row r="17" spans="1:7" x14ac:dyDescent="0.3">
      <c r="A17">
        <v>28983</v>
      </c>
      <c r="B17" t="s">
        <v>13</v>
      </c>
      <c r="C17" s="1">
        <v>45132</v>
      </c>
      <c r="D17">
        <v>957.95770100000004</v>
      </c>
      <c r="E17">
        <v>64</v>
      </c>
      <c r="F17" t="s">
        <v>11</v>
      </c>
      <c r="G17">
        <v>6</v>
      </c>
    </row>
    <row r="18" spans="1:7" x14ac:dyDescent="0.3">
      <c r="A18">
        <v>99688</v>
      </c>
      <c r="B18" t="s">
        <v>9</v>
      </c>
      <c r="C18" s="1">
        <v>45037</v>
      </c>
      <c r="D18">
        <v>458.43326400000001</v>
      </c>
      <c r="E18">
        <v>53</v>
      </c>
      <c r="F18" t="s">
        <v>12</v>
      </c>
      <c r="G18">
        <v>2</v>
      </c>
    </row>
    <row r="19" spans="1:7" x14ac:dyDescent="0.3">
      <c r="A19">
        <v>92457</v>
      </c>
      <c r="B19" t="s">
        <v>13</v>
      </c>
      <c r="C19" s="1">
        <v>45090</v>
      </c>
      <c r="D19">
        <v>644.95664299999999</v>
      </c>
      <c r="E19">
        <v>19</v>
      </c>
      <c r="F19" t="s">
        <v>11</v>
      </c>
      <c r="G19">
        <v>1</v>
      </c>
    </row>
    <row r="20" spans="1:7" x14ac:dyDescent="0.3">
      <c r="A20">
        <v>16921</v>
      </c>
      <c r="B20" t="s">
        <v>14</v>
      </c>
      <c r="C20" s="1">
        <v>45049</v>
      </c>
      <c r="D20">
        <v>452.08174700000001</v>
      </c>
      <c r="E20">
        <v>60</v>
      </c>
      <c r="F20" t="s">
        <v>11</v>
      </c>
      <c r="G20">
        <v>3</v>
      </c>
    </row>
    <row r="21" spans="1:7" x14ac:dyDescent="0.3">
      <c r="A21">
        <v>48004</v>
      </c>
      <c r="B21" t="s">
        <v>7</v>
      </c>
      <c r="C21" s="1">
        <v>45076</v>
      </c>
      <c r="D21">
        <v>457.40632699999998</v>
      </c>
      <c r="E21">
        <v>45</v>
      </c>
      <c r="F21" t="s">
        <v>8</v>
      </c>
      <c r="G21">
        <v>2</v>
      </c>
    </row>
  </sheetData>
  <conditionalFormatting sqref="D2:D21">
    <cfRule type="cellIs" dxfId="1" priority="1" operator="greaterThan">
      <formula>500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E6061-B19F-4A11-A36F-5EFCF0DC81B5}">
  <dimension ref="A1:G21"/>
  <sheetViews>
    <sheetView workbookViewId="0">
      <selection activeCell="F15" sqref="F15"/>
    </sheetView>
  </sheetViews>
  <sheetFormatPr defaultRowHeight="14.4" x14ac:dyDescent="0.3"/>
  <cols>
    <col min="1" max="1" width="13.109375" bestFit="1" customWidth="1"/>
    <col min="2" max="2" width="17.5546875" bestFit="1" customWidth="1"/>
    <col min="3" max="3" width="14.77734375" bestFit="1" customWidth="1"/>
    <col min="4" max="4" width="11" bestFit="1" customWidth="1"/>
    <col min="5" max="5" width="6.44140625" bestFit="1" customWidth="1"/>
    <col min="6" max="6" width="9" bestFit="1" customWidth="1"/>
    <col min="7" max="7" width="19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78268</v>
      </c>
      <c r="B2" t="s">
        <v>10</v>
      </c>
      <c r="C2" s="1">
        <v>45189</v>
      </c>
      <c r="D2">
        <v>917.32054500000004</v>
      </c>
      <c r="E2">
        <v>55</v>
      </c>
      <c r="F2" t="s">
        <v>8</v>
      </c>
      <c r="G2">
        <v>4</v>
      </c>
    </row>
    <row r="3" spans="1:7" x14ac:dyDescent="0.3">
      <c r="A3">
        <v>53567</v>
      </c>
      <c r="B3" t="s">
        <v>7</v>
      </c>
      <c r="C3" s="1">
        <v>45128</v>
      </c>
      <c r="D3">
        <v>194.00402600000001</v>
      </c>
      <c r="E3">
        <v>56</v>
      </c>
      <c r="F3" t="s">
        <v>8</v>
      </c>
      <c r="G3">
        <v>3</v>
      </c>
    </row>
    <row r="4" spans="1:7" x14ac:dyDescent="0.3">
      <c r="A4">
        <v>52613</v>
      </c>
      <c r="B4" t="s">
        <v>9</v>
      </c>
      <c r="C4" s="1">
        <v>45047</v>
      </c>
      <c r="D4">
        <v>355.087898</v>
      </c>
      <c r="E4">
        <v>46</v>
      </c>
      <c r="F4" t="s">
        <v>8</v>
      </c>
      <c r="G4">
        <v>1</v>
      </c>
    </row>
    <row r="5" spans="1:7" x14ac:dyDescent="0.3">
      <c r="A5">
        <v>55891</v>
      </c>
      <c r="B5" t="s">
        <v>10</v>
      </c>
      <c r="C5" s="1">
        <v>44995</v>
      </c>
      <c r="D5">
        <v>265.21210400000001</v>
      </c>
      <c r="E5">
        <v>45</v>
      </c>
      <c r="F5" t="s">
        <v>11</v>
      </c>
      <c r="G5">
        <v>5</v>
      </c>
    </row>
    <row r="6" spans="1:7" x14ac:dyDescent="0.3">
      <c r="A6">
        <v>31243</v>
      </c>
      <c r="B6" t="s">
        <v>9</v>
      </c>
      <c r="C6" s="1">
        <v>45002</v>
      </c>
      <c r="D6">
        <v>161.83664400000001</v>
      </c>
      <c r="E6">
        <v>63</v>
      </c>
      <c r="F6" t="s">
        <v>12</v>
      </c>
      <c r="G6">
        <v>3</v>
      </c>
    </row>
    <row r="7" spans="1:7" x14ac:dyDescent="0.3">
      <c r="A7">
        <v>51993</v>
      </c>
      <c r="B7" t="s">
        <v>13</v>
      </c>
      <c r="C7" s="1">
        <v>44967</v>
      </c>
      <c r="D7">
        <v>898.10537399999998</v>
      </c>
      <c r="E7">
        <v>51</v>
      </c>
      <c r="F7" t="s">
        <v>11</v>
      </c>
      <c r="G7">
        <v>1</v>
      </c>
    </row>
    <row r="8" spans="1:7" x14ac:dyDescent="0.3">
      <c r="A8">
        <v>96293</v>
      </c>
      <c r="B8" t="s">
        <v>13</v>
      </c>
      <c r="C8" s="1">
        <v>45125</v>
      </c>
      <c r="D8">
        <v>933.11899500000004</v>
      </c>
      <c r="E8">
        <v>29</v>
      </c>
      <c r="F8" t="s">
        <v>12</v>
      </c>
      <c r="G8">
        <v>9</v>
      </c>
    </row>
    <row r="9" spans="1:7" x14ac:dyDescent="0.3">
      <c r="A9">
        <v>62026</v>
      </c>
      <c r="B9" t="s">
        <v>10</v>
      </c>
      <c r="C9" s="1">
        <v>45182</v>
      </c>
      <c r="D9">
        <v>999.21582899999999</v>
      </c>
      <c r="E9">
        <v>35</v>
      </c>
      <c r="F9" t="s">
        <v>8</v>
      </c>
      <c r="G9">
        <v>2</v>
      </c>
    </row>
    <row r="10" spans="1:7" x14ac:dyDescent="0.3">
      <c r="A10">
        <v>90471</v>
      </c>
      <c r="B10" t="s">
        <v>14</v>
      </c>
      <c r="C10" s="1">
        <v>45115</v>
      </c>
      <c r="D10">
        <v>244.38593800000001</v>
      </c>
      <c r="E10">
        <v>52</v>
      </c>
      <c r="F10" t="s">
        <v>8</v>
      </c>
      <c r="G10">
        <v>1</v>
      </c>
    </row>
    <row r="11" spans="1:7" x14ac:dyDescent="0.3">
      <c r="A11">
        <v>56006</v>
      </c>
      <c r="B11" t="s">
        <v>14</v>
      </c>
      <c r="C11" s="1">
        <v>44989</v>
      </c>
      <c r="D11">
        <v>156.88938300000001</v>
      </c>
      <c r="E11">
        <v>31</v>
      </c>
      <c r="F11" t="s">
        <v>12</v>
      </c>
      <c r="G11">
        <v>2</v>
      </c>
    </row>
    <row r="12" spans="1:7" x14ac:dyDescent="0.3">
      <c r="A12">
        <v>49512</v>
      </c>
      <c r="B12" t="s">
        <v>10</v>
      </c>
      <c r="C12" s="1">
        <v>44963</v>
      </c>
      <c r="D12">
        <v>730.23582099999999</v>
      </c>
      <c r="E12">
        <v>33</v>
      </c>
      <c r="F12" t="s">
        <v>8</v>
      </c>
      <c r="G12">
        <v>4</v>
      </c>
    </row>
    <row r="13" spans="1:7" x14ac:dyDescent="0.3">
      <c r="A13">
        <v>62620</v>
      </c>
      <c r="B13" t="s">
        <v>10</v>
      </c>
      <c r="C13" s="1">
        <v>45003</v>
      </c>
      <c r="D13">
        <v>930.38135899999997</v>
      </c>
      <c r="E13">
        <v>42</v>
      </c>
      <c r="F13" t="s">
        <v>11</v>
      </c>
      <c r="G13">
        <v>2</v>
      </c>
    </row>
    <row r="14" spans="1:7" x14ac:dyDescent="0.3">
      <c r="A14">
        <v>90186</v>
      </c>
      <c r="B14" t="s">
        <v>7</v>
      </c>
      <c r="C14" s="1">
        <v>45017</v>
      </c>
      <c r="D14">
        <v>293.51085499999999</v>
      </c>
      <c r="E14">
        <v>30</v>
      </c>
      <c r="F14" t="s">
        <v>15</v>
      </c>
      <c r="G14">
        <v>3</v>
      </c>
    </row>
    <row r="15" spans="1:7" x14ac:dyDescent="0.3">
      <c r="A15">
        <v>27089</v>
      </c>
      <c r="B15" t="s">
        <v>14</v>
      </c>
      <c r="C15" s="1">
        <v>45105</v>
      </c>
      <c r="D15">
        <v>812.36725000000001</v>
      </c>
      <c r="E15">
        <v>56</v>
      </c>
      <c r="F15" t="s">
        <v>15</v>
      </c>
      <c r="G15">
        <v>4</v>
      </c>
    </row>
    <row r="16" spans="1:7" x14ac:dyDescent="0.3">
      <c r="A16">
        <v>42230</v>
      </c>
      <c r="B16" t="s">
        <v>14</v>
      </c>
      <c r="C16" s="1">
        <v>45139</v>
      </c>
      <c r="D16">
        <v>798.820741</v>
      </c>
      <c r="E16">
        <v>62</v>
      </c>
      <c r="F16" t="s">
        <v>11</v>
      </c>
      <c r="G16">
        <v>1</v>
      </c>
    </row>
    <row r="17" spans="1:7" x14ac:dyDescent="0.3">
      <c r="A17">
        <v>28983</v>
      </c>
      <c r="B17" t="s">
        <v>13</v>
      </c>
      <c r="C17" s="1">
        <v>45132</v>
      </c>
      <c r="D17">
        <v>957.95770100000004</v>
      </c>
      <c r="E17">
        <v>64</v>
      </c>
      <c r="F17" t="s">
        <v>11</v>
      </c>
      <c r="G17">
        <v>6</v>
      </c>
    </row>
    <row r="18" spans="1:7" x14ac:dyDescent="0.3">
      <c r="A18">
        <v>99688</v>
      </c>
      <c r="B18" t="s">
        <v>9</v>
      </c>
      <c r="C18" s="1">
        <v>45037</v>
      </c>
      <c r="D18">
        <v>458.43326400000001</v>
      </c>
      <c r="E18">
        <v>53</v>
      </c>
      <c r="F18" t="s">
        <v>12</v>
      </c>
      <c r="G18">
        <v>2</v>
      </c>
    </row>
    <row r="19" spans="1:7" x14ac:dyDescent="0.3">
      <c r="A19">
        <v>92457</v>
      </c>
      <c r="B19" t="s">
        <v>13</v>
      </c>
      <c r="C19" s="1">
        <v>45090</v>
      </c>
      <c r="D19">
        <v>644.95664299999999</v>
      </c>
      <c r="E19">
        <v>19</v>
      </c>
      <c r="F19" t="s">
        <v>11</v>
      </c>
      <c r="G19">
        <v>1</v>
      </c>
    </row>
    <row r="20" spans="1:7" x14ac:dyDescent="0.3">
      <c r="A20">
        <v>16921</v>
      </c>
      <c r="B20" t="s">
        <v>14</v>
      </c>
      <c r="C20" s="1">
        <v>45049</v>
      </c>
      <c r="D20">
        <v>452.08174700000001</v>
      </c>
      <c r="E20">
        <v>60</v>
      </c>
      <c r="F20" t="s">
        <v>11</v>
      </c>
      <c r="G20">
        <v>3</v>
      </c>
    </row>
    <row r="21" spans="1:7" x14ac:dyDescent="0.3">
      <c r="A21">
        <v>48004</v>
      </c>
      <c r="B21" t="s">
        <v>7</v>
      </c>
      <c r="C21" s="1">
        <v>45076</v>
      </c>
      <c r="D21">
        <v>457.40632699999998</v>
      </c>
      <c r="E21">
        <v>45</v>
      </c>
      <c r="F21" t="s">
        <v>8</v>
      </c>
      <c r="G21">
        <v>2</v>
      </c>
    </row>
  </sheetData>
  <conditionalFormatting sqref="D2:D21">
    <cfRule type="expression" dxfId="0" priority="1">
      <formula>D2=AVERAGE($D$2:$D$21)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4C487-9650-4D37-B030-AEDCCB1E3EF1}">
  <dimension ref="A1:K21"/>
  <sheetViews>
    <sheetView workbookViewId="0">
      <selection activeCell="K13" sqref="K13"/>
    </sheetView>
  </sheetViews>
  <sheetFormatPr defaultRowHeight="14.4" x14ac:dyDescent="0.3"/>
  <cols>
    <col min="1" max="1" width="13.109375" bestFit="1" customWidth="1"/>
    <col min="2" max="2" width="17.5546875" bestFit="1" customWidth="1"/>
    <col min="3" max="3" width="14.77734375" bestFit="1" customWidth="1"/>
    <col min="4" max="4" width="11" bestFit="1" customWidth="1"/>
    <col min="5" max="5" width="6.44140625" bestFit="1" customWidth="1"/>
    <col min="6" max="6" width="9" bestFit="1" customWidth="1"/>
    <col min="7" max="7" width="19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>
        <v>78268</v>
      </c>
      <c r="B2" t="s">
        <v>10</v>
      </c>
      <c r="C2" s="1">
        <v>45189</v>
      </c>
      <c r="D2">
        <v>917.32054500000004</v>
      </c>
      <c r="E2">
        <v>55</v>
      </c>
      <c r="F2" t="s">
        <v>8</v>
      </c>
      <c r="G2">
        <v>4</v>
      </c>
    </row>
    <row r="3" spans="1:11" x14ac:dyDescent="0.3">
      <c r="A3">
        <v>53567</v>
      </c>
      <c r="B3" t="s">
        <v>7</v>
      </c>
      <c r="C3" s="1">
        <v>45128</v>
      </c>
      <c r="D3">
        <v>194.00402600000001</v>
      </c>
      <c r="E3">
        <v>56</v>
      </c>
      <c r="F3" t="s">
        <v>8</v>
      </c>
      <c r="G3">
        <v>3</v>
      </c>
    </row>
    <row r="4" spans="1:11" x14ac:dyDescent="0.3">
      <c r="A4">
        <v>52613</v>
      </c>
      <c r="B4" t="s">
        <v>9</v>
      </c>
      <c r="C4" s="1">
        <v>45047</v>
      </c>
      <c r="D4">
        <v>355.087898</v>
      </c>
      <c r="E4">
        <v>46</v>
      </c>
      <c r="F4" t="s">
        <v>8</v>
      </c>
      <c r="G4">
        <v>1</v>
      </c>
    </row>
    <row r="5" spans="1:11" x14ac:dyDescent="0.3">
      <c r="A5">
        <v>55891</v>
      </c>
      <c r="B5" t="s">
        <v>10</v>
      </c>
      <c r="C5" s="1">
        <v>44995</v>
      </c>
      <c r="D5">
        <v>265.21210400000001</v>
      </c>
      <c r="E5">
        <v>45</v>
      </c>
      <c r="F5" t="s">
        <v>11</v>
      </c>
      <c r="G5">
        <v>5</v>
      </c>
      <c r="J5" t="s">
        <v>8</v>
      </c>
      <c r="K5">
        <f>SUMIFS(Table16[Revenue],Table16[Region],"North")</f>
        <v>3897.6563840000003</v>
      </c>
    </row>
    <row r="6" spans="1:11" x14ac:dyDescent="0.3">
      <c r="A6">
        <v>31243</v>
      </c>
      <c r="B6" t="s">
        <v>9</v>
      </c>
      <c r="C6" s="1">
        <v>45002</v>
      </c>
      <c r="D6">
        <v>161.83664400000001</v>
      </c>
      <c r="E6">
        <v>63</v>
      </c>
      <c r="F6" t="s">
        <v>12</v>
      </c>
      <c r="G6">
        <v>3</v>
      </c>
      <c r="J6" t="s">
        <v>11</v>
      </c>
      <c r="K6">
        <f>SUMIFS(Table16[Revenue],Table16[Region],"South")</f>
        <v>4947.5156690000003</v>
      </c>
    </row>
    <row r="7" spans="1:11" x14ac:dyDescent="0.3">
      <c r="A7">
        <v>51993</v>
      </c>
      <c r="B7" t="s">
        <v>13</v>
      </c>
      <c r="C7" s="1">
        <v>44967</v>
      </c>
      <c r="D7">
        <v>898.10537399999998</v>
      </c>
      <c r="E7">
        <v>51</v>
      </c>
      <c r="F7" t="s">
        <v>11</v>
      </c>
      <c r="G7">
        <v>1</v>
      </c>
      <c r="J7" t="s">
        <v>15</v>
      </c>
      <c r="K7">
        <f>SUMIFS(Table16[Revenue],Table16[Region],"East")</f>
        <v>1105.878105</v>
      </c>
    </row>
    <row r="8" spans="1:11" x14ac:dyDescent="0.3">
      <c r="A8">
        <v>96293</v>
      </c>
      <c r="B8" t="s">
        <v>13</v>
      </c>
      <c r="C8" s="1">
        <v>45125</v>
      </c>
      <c r="D8">
        <v>933.11899500000004</v>
      </c>
      <c r="E8">
        <v>29</v>
      </c>
      <c r="F8" t="s">
        <v>12</v>
      </c>
      <c r="G8">
        <v>9</v>
      </c>
      <c r="J8" t="s">
        <v>12</v>
      </c>
      <c r="K8">
        <f>SUMIFS(Table16[Revenue],Table16[Region],"West")</f>
        <v>1710.278286</v>
      </c>
    </row>
    <row r="9" spans="1:11" x14ac:dyDescent="0.3">
      <c r="A9">
        <v>62026</v>
      </c>
      <c r="B9" t="s">
        <v>10</v>
      </c>
      <c r="C9" s="1">
        <v>45182</v>
      </c>
      <c r="D9">
        <v>999.21582899999999</v>
      </c>
      <c r="E9">
        <v>35</v>
      </c>
      <c r="F9" t="s">
        <v>8</v>
      </c>
      <c r="G9">
        <v>2</v>
      </c>
    </row>
    <row r="10" spans="1:11" x14ac:dyDescent="0.3">
      <c r="A10">
        <v>90471</v>
      </c>
      <c r="B10" t="s">
        <v>14</v>
      </c>
      <c r="C10" s="1">
        <v>45115</v>
      </c>
      <c r="D10">
        <v>244.38593800000001</v>
      </c>
      <c r="E10">
        <v>52</v>
      </c>
      <c r="F10" t="s">
        <v>8</v>
      </c>
      <c r="G10">
        <v>1</v>
      </c>
    </row>
    <row r="11" spans="1:11" x14ac:dyDescent="0.3">
      <c r="A11">
        <v>56006</v>
      </c>
      <c r="B11" t="s">
        <v>14</v>
      </c>
      <c r="C11" s="1">
        <v>44989</v>
      </c>
      <c r="D11">
        <v>156.88938300000001</v>
      </c>
      <c r="E11">
        <v>31</v>
      </c>
      <c r="F11" t="s">
        <v>12</v>
      </c>
      <c r="G11">
        <v>2</v>
      </c>
    </row>
    <row r="12" spans="1:11" x14ac:dyDescent="0.3">
      <c r="A12">
        <v>49512</v>
      </c>
      <c r="B12" t="s">
        <v>10</v>
      </c>
      <c r="C12" s="1">
        <v>44963</v>
      </c>
      <c r="D12">
        <v>730.23582099999999</v>
      </c>
      <c r="E12">
        <v>33</v>
      </c>
      <c r="F12" t="s">
        <v>8</v>
      </c>
      <c r="G12">
        <v>4</v>
      </c>
    </row>
    <row r="13" spans="1:11" x14ac:dyDescent="0.3">
      <c r="A13">
        <v>62620</v>
      </c>
      <c r="B13" t="s">
        <v>10</v>
      </c>
      <c r="C13" s="1">
        <v>45003</v>
      </c>
      <c r="D13">
        <v>930.38135899999997</v>
      </c>
      <c r="E13">
        <v>42</v>
      </c>
      <c r="F13" t="s">
        <v>11</v>
      </c>
      <c r="G13">
        <v>2</v>
      </c>
    </row>
    <row r="14" spans="1:11" x14ac:dyDescent="0.3">
      <c r="A14">
        <v>90186</v>
      </c>
      <c r="B14" t="s">
        <v>7</v>
      </c>
      <c r="C14" s="1">
        <v>45017</v>
      </c>
      <c r="D14">
        <v>293.51085499999999</v>
      </c>
      <c r="E14">
        <v>30</v>
      </c>
      <c r="F14" t="s">
        <v>15</v>
      </c>
      <c r="G14">
        <v>3</v>
      </c>
    </row>
    <row r="15" spans="1:11" x14ac:dyDescent="0.3">
      <c r="A15">
        <v>27089</v>
      </c>
      <c r="B15" t="s">
        <v>14</v>
      </c>
      <c r="C15" s="1">
        <v>45105</v>
      </c>
      <c r="D15">
        <v>812.36725000000001</v>
      </c>
      <c r="E15">
        <v>56</v>
      </c>
      <c r="F15" t="s">
        <v>15</v>
      </c>
      <c r="G15">
        <v>4</v>
      </c>
    </row>
    <row r="16" spans="1:11" x14ac:dyDescent="0.3">
      <c r="A16">
        <v>42230</v>
      </c>
      <c r="B16" t="s">
        <v>14</v>
      </c>
      <c r="C16" s="1">
        <v>45139</v>
      </c>
      <c r="D16">
        <v>798.820741</v>
      </c>
      <c r="E16">
        <v>62</v>
      </c>
      <c r="F16" t="s">
        <v>11</v>
      </c>
      <c r="G16">
        <v>1</v>
      </c>
    </row>
    <row r="17" spans="1:7" x14ac:dyDescent="0.3">
      <c r="A17">
        <v>28983</v>
      </c>
      <c r="B17" t="s">
        <v>13</v>
      </c>
      <c r="C17" s="1">
        <v>45132</v>
      </c>
      <c r="D17">
        <v>957.95770100000004</v>
      </c>
      <c r="E17">
        <v>64</v>
      </c>
      <c r="F17" t="s">
        <v>11</v>
      </c>
      <c r="G17">
        <v>6</v>
      </c>
    </row>
    <row r="18" spans="1:7" x14ac:dyDescent="0.3">
      <c r="A18">
        <v>99688</v>
      </c>
      <c r="B18" t="s">
        <v>9</v>
      </c>
      <c r="C18" s="1">
        <v>45037</v>
      </c>
      <c r="D18">
        <v>458.43326400000001</v>
      </c>
      <c r="E18">
        <v>53</v>
      </c>
      <c r="F18" t="s">
        <v>12</v>
      </c>
      <c r="G18">
        <v>2</v>
      </c>
    </row>
    <row r="19" spans="1:7" x14ac:dyDescent="0.3">
      <c r="A19">
        <v>92457</v>
      </c>
      <c r="B19" t="s">
        <v>13</v>
      </c>
      <c r="C19" s="1">
        <v>45090</v>
      </c>
      <c r="D19">
        <v>644.95664299999999</v>
      </c>
      <c r="E19">
        <v>19</v>
      </c>
      <c r="F19" t="s">
        <v>11</v>
      </c>
      <c r="G19">
        <v>1</v>
      </c>
    </row>
    <row r="20" spans="1:7" x14ac:dyDescent="0.3">
      <c r="A20">
        <v>16921</v>
      </c>
      <c r="B20" t="s">
        <v>14</v>
      </c>
      <c r="C20" s="1">
        <v>45049</v>
      </c>
      <c r="D20">
        <v>452.08174700000001</v>
      </c>
      <c r="E20">
        <v>60</v>
      </c>
      <c r="F20" t="s">
        <v>11</v>
      </c>
      <c r="G20">
        <v>3</v>
      </c>
    </row>
    <row r="21" spans="1:7" x14ac:dyDescent="0.3">
      <c r="A21">
        <v>48004</v>
      </c>
      <c r="B21" t="s">
        <v>7</v>
      </c>
      <c r="C21" s="1">
        <v>45076</v>
      </c>
      <c r="D21">
        <v>457.40632699999998</v>
      </c>
      <c r="E21">
        <v>45</v>
      </c>
      <c r="F21" t="s">
        <v>8</v>
      </c>
      <c r="G2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Sales_Highlight</vt:lpstr>
      <vt:lpstr>Monthly_Trends</vt:lpstr>
      <vt:lpstr>Region_Summary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Hamza</dc:creator>
  <cp:lastModifiedBy>Ali Hamza</cp:lastModifiedBy>
  <dcterms:created xsi:type="dcterms:W3CDTF">2025-05-02T15:28:07Z</dcterms:created>
  <dcterms:modified xsi:type="dcterms:W3CDTF">2025-05-02T17:58:50Z</dcterms:modified>
</cp:coreProperties>
</file>